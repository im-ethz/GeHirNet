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fanwufan/Documents/PhD/Papers/VoicePathology/ICHI/"/>
    </mc:Choice>
  </mc:AlternateContent>
  <xr:revisionPtr revIDLastSave="0" documentId="13_ncr:1_{4E39D25D-BC26-D24C-BC04-2E6E33BF9E2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 (2)" sheetId="5" r:id="rId1"/>
    <sheet name="Backup" sheetId="1" r:id="rId2"/>
    <sheet name="Sheet4" sheetId="4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5" l="1"/>
  <c r="G52" i="5"/>
  <c r="F52" i="5"/>
  <c r="H52" i="5" s="1"/>
  <c r="G51" i="5"/>
  <c r="F51" i="5"/>
  <c r="H51" i="5" s="1"/>
  <c r="G50" i="5"/>
  <c r="F50" i="5"/>
  <c r="H50" i="5" s="1"/>
  <c r="G49" i="5"/>
  <c r="F49" i="5"/>
  <c r="H49" i="5" s="1"/>
  <c r="G48" i="5"/>
  <c r="F48" i="5"/>
  <c r="H48" i="5" s="1"/>
  <c r="G47" i="5"/>
  <c r="F47" i="5"/>
  <c r="H47" i="5" s="1"/>
  <c r="G46" i="5"/>
  <c r="H46" i="5" s="1"/>
  <c r="F46" i="5"/>
  <c r="G38" i="5"/>
  <c r="F38" i="5"/>
  <c r="H38" i="5" s="1"/>
  <c r="G37" i="5"/>
  <c r="F37" i="5"/>
  <c r="H37" i="5" s="1"/>
  <c r="G36" i="5"/>
  <c r="H36" i="5" s="1"/>
  <c r="F36" i="5"/>
  <c r="G35" i="5"/>
  <c r="F35" i="5"/>
  <c r="H35" i="5" s="1"/>
  <c r="G34" i="5"/>
  <c r="F34" i="5"/>
  <c r="H34" i="5" s="1"/>
  <c r="G33" i="5"/>
  <c r="F33" i="5"/>
  <c r="H33" i="5" s="1"/>
  <c r="G32" i="5"/>
  <c r="F32" i="5"/>
  <c r="H32" i="5" s="1"/>
  <c r="G24" i="5"/>
  <c r="F24" i="5"/>
  <c r="H24" i="5" s="1"/>
  <c r="G23" i="5"/>
  <c r="F23" i="5"/>
  <c r="H23" i="5" s="1"/>
  <c r="G22" i="5"/>
  <c r="F22" i="5"/>
  <c r="H22" i="5" s="1"/>
  <c r="G21" i="5"/>
  <c r="F21" i="5"/>
  <c r="H21" i="5" s="1"/>
  <c r="G20" i="5"/>
  <c r="F20" i="5"/>
  <c r="H20" i="5" s="1"/>
  <c r="H19" i="5"/>
  <c r="G19" i="5"/>
  <c r="F19" i="5"/>
  <c r="G18" i="5"/>
  <c r="F18" i="5"/>
  <c r="F25" i="5" s="1"/>
  <c r="F11" i="5"/>
  <c r="G10" i="5"/>
  <c r="F10" i="5"/>
  <c r="H10" i="5" s="1"/>
  <c r="H9" i="5"/>
  <c r="G9" i="5"/>
  <c r="F9" i="5"/>
  <c r="G8" i="5"/>
  <c r="F8" i="5"/>
  <c r="H8" i="5" s="1"/>
  <c r="G7" i="5"/>
  <c r="F7" i="5"/>
  <c r="H7" i="5" s="1"/>
  <c r="G6" i="5"/>
  <c r="H6" i="5" s="1"/>
  <c r="F6" i="5"/>
  <c r="G5" i="5"/>
  <c r="F5" i="5"/>
  <c r="H5" i="5" s="1"/>
  <c r="G4" i="5"/>
  <c r="F4" i="5"/>
  <c r="H4" i="5" s="1"/>
  <c r="F53" i="1"/>
  <c r="G19" i="1"/>
  <c r="H19" i="1" s="1"/>
  <c r="G18" i="1"/>
  <c r="F7" i="1"/>
  <c r="H7" i="1" s="1"/>
  <c r="G52" i="1"/>
  <c r="F52" i="1"/>
  <c r="H52" i="1" s="1"/>
  <c r="G51" i="1"/>
  <c r="F51" i="1"/>
  <c r="H51" i="1" s="1"/>
  <c r="G50" i="1"/>
  <c r="F50" i="1"/>
  <c r="H50" i="1" s="1"/>
  <c r="G49" i="1"/>
  <c r="F49" i="1"/>
  <c r="H49" i="1" s="1"/>
  <c r="G48" i="1"/>
  <c r="F48" i="1"/>
  <c r="H48" i="1" s="1"/>
  <c r="G47" i="1"/>
  <c r="F47" i="1"/>
  <c r="H47" i="1" s="1"/>
  <c r="H46" i="1"/>
  <c r="G46" i="1"/>
  <c r="F46" i="1"/>
  <c r="G38" i="1"/>
  <c r="F38" i="1"/>
  <c r="H38" i="1" s="1"/>
  <c r="G37" i="1"/>
  <c r="F37" i="1"/>
  <c r="H37" i="1" s="1"/>
  <c r="G36" i="1"/>
  <c r="F36" i="1"/>
  <c r="H36" i="1" s="1"/>
  <c r="G35" i="1"/>
  <c r="F35" i="1"/>
  <c r="H35" i="1" s="1"/>
  <c r="G34" i="1"/>
  <c r="F34" i="1"/>
  <c r="H34" i="1" s="1"/>
  <c r="G33" i="1"/>
  <c r="F33" i="1"/>
  <c r="H33" i="1" s="1"/>
  <c r="H32" i="1"/>
  <c r="G32" i="1"/>
  <c r="F32" i="1"/>
  <c r="F39" i="1" s="1"/>
  <c r="G24" i="1"/>
  <c r="F24" i="1"/>
  <c r="F25" i="1" s="1"/>
  <c r="H23" i="1"/>
  <c r="G23" i="1"/>
  <c r="F23" i="1"/>
  <c r="G22" i="1"/>
  <c r="F22" i="1"/>
  <c r="H22" i="1" s="1"/>
  <c r="G21" i="1"/>
  <c r="F21" i="1"/>
  <c r="H21" i="1" s="1"/>
  <c r="G20" i="1"/>
  <c r="H20" i="1" s="1"/>
  <c r="F20" i="1"/>
  <c r="F19" i="1"/>
  <c r="F18" i="1"/>
  <c r="H18" i="1" s="1"/>
  <c r="H5" i="1"/>
  <c r="H6" i="1"/>
  <c r="H8" i="1"/>
  <c r="H9" i="1"/>
  <c r="H10" i="1"/>
  <c r="H4" i="1"/>
  <c r="G5" i="1"/>
  <c r="G6" i="1"/>
  <c r="G7" i="1"/>
  <c r="G8" i="1"/>
  <c r="G9" i="1"/>
  <c r="G10" i="1"/>
  <c r="G4" i="1"/>
  <c r="F4" i="1"/>
  <c r="F5" i="1"/>
  <c r="F6" i="1"/>
  <c r="F8" i="1"/>
  <c r="F9" i="1"/>
  <c r="F10" i="1"/>
  <c r="H18" i="5" l="1"/>
  <c r="F39" i="5"/>
  <c r="F11" i="1"/>
  <c r="H24" i="1"/>
</calcChain>
</file>

<file path=xl/sharedStrings.xml><?xml version="1.0" encoding="utf-8"?>
<sst xmlns="http://schemas.openxmlformats.org/spreadsheetml/2006/main" count="148" uniqueCount="24">
  <si>
    <t>Exp 1</t>
  </si>
  <si>
    <t>Disease</t>
  </si>
  <si>
    <t>Male TPR</t>
  </si>
  <si>
    <t>Male FPR</t>
  </si>
  <si>
    <t>Female TPR</t>
  </si>
  <si>
    <t>Female FPR</t>
  </si>
  <si>
    <t>ALS</t>
  </si>
  <si>
    <t>Covid-19</t>
  </si>
  <si>
    <t>Dysphonie</t>
  </si>
  <si>
    <t>HC</t>
  </si>
  <si>
    <t>Laryngitis</t>
  </si>
  <si>
    <t>Parkinson</t>
  </si>
  <si>
    <t>Rekurrensparese</t>
  </si>
  <si>
    <t>Macro Avg for Fairness Computing</t>
  </si>
  <si>
    <t>Fairness</t>
  </si>
  <si>
    <t>Equal Opportunity Difference</t>
  </si>
  <si>
    <t>Equalized Odds Difference</t>
  </si>
  <si>
    <t>Exp 2</t>
  </si>
  <si>
    <t>Exp 3.1</t>
  </si>
  <si>
    <t>Exp 3.2</t>
  </si>
  <si>
    <t>Delta_TPR</t>
  </si>
  <si>
    <t>Delta_FPR</t>
  </si>
  <si>
    <t>Eodds</t>
  </si>
  <si>
    <t>MacroTPR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</si>
</sst>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64" fontId="0" fillId="0" borderId="0" xfId="0" applyNumberFormat="1">
      <alignment vertic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>
      <alignment vertical="center"/>
    </xf>
    <xf numFmtId="164" fontId="0" fillId="0" borderId="1" xfId="0" applyNumberFormat="1" applyBorder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64" fontId="0" fillId="0" borderId="1" xfId="0" applyNumberFormat="1" applyBorder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C026-669E-1143-A973-98FE572AC72B}">
  <dimension ref="A1:N61"/>
  <sheetViews>
    <sheetView tabSelected="1" zoomScale="196" zoomScaleNormal="196" workbookViewId="0">
      <selection activeCell="E8" sqref="E8"/>
    </sheetView>
  </sheetViews>
  <sheetFormatPr baseColWidth="10" defaultColWidth="9" defaultRowHeight="15" x14ac:dyDescent="0.2"/>
  <cols>
    <col min="1" max="1" width="25.5" style="1" customWidth="1"/>
    <col min="2" max="3" width="9" style="1"/>
    <col min="4" max="4" width="11.6640625" style="1" customWidth="1"/>
    <col min="5" max="5" width="11.5" style="1" customWidth="1"/>
    <col min="6" max="16384" width="9" style="1"/>
  </cols>
  <sheetData>
    <row r="1" spans="1:13" x14ac:dyDescent="0.2">
      <c r="A1" s="11" t="s">
        <v>0</v>
      </c>
      <c r="B1" s="11"/>
      <c r="C1" s="11"/>
      <c r="D1" s="11"/>
      <c r="E1" s="11"/>
      <c r="I1" s="2"/>
      <c r="J1" s="2"/>
      <c r="K1" s="2"/>
      <c r="L1" s="2"/>
      <c r="M1" s="2"/>
    </row>
    <row r="2" spans="1:13" x14ac:dyDescent="0.2">
      <c r="A2" s="11"/>
      <c r="B2" s="11"/>
      <c r="C2" s="11"/>
      <c r="D2" s="11"/>
      <c r="E2" s="11"/>
      <c r="I2" s="3"/>
      <c r="J2" s="3"/>
      <c r="K2" s="3"/>
      <c r="L2" s="3"/>
      <c r="M2" s="3"/>
    </row>
    <row r="3" spans="1:13" ht="16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20</v>
      </c>
      <c r="G3" s="5" t="s">
        <v>21</v>
      </c>
      <c r="H3" s="5" t="s">
        <v>22</v>
      </c>
      <c r="I3" s="3"/>
      <c r="J3" s="3"/>
      <c r="K3" s="3"/>
      <c r="L3" s="3"/>
      <c r="M3" s="3"/>
    </row>
    <row r="4" spans="1:13" ht="16" x14ac:dyDescent="0.2">
      <c r="A4" s="6" t="s">
        <v>6</v>
      </c>
      <c r="B4" s="6">
        <v>1</v>
      </c>
      <c r="C4" s="6">
        <v>0</v>
      </c>
      <c r="D4" s="6">
        <v>1</v>
      </c>
      <c r="E4" s="6">
        <v>0</v>
      </c>
      <c r="F4" s="1">
        <f>ABS(B4-D4)</f>
        <v>0</v>
      </c>
      <c r="G4" s="1">
        <f>ABS(C4-E4)</f>
        <v>0</v>
      </c>
      <c r="H4" s="5">
        <f>1/2*(F4+G4)</f>
        <v>0</v>
      </c>
      <c r="I4" s="3"/>
      <c r="J4" s="3"/>
      <c r="K4" s="3"/>
      <c r="L4" s="3"/>
      <c r="M4" s="3"/>
    </row>
    <row r="5" spans="1:13" ht="16" x14ac:dyDescent="0.2">
      <c r="A5" s="6" t="s">
        <v>7</v>
      </c>
      <c r="B5" s="6">
        <v>0.90480000000000005</v>
      </c>
      <c r="C5" s="6">
        <v>3.5000000000000001E-3</v>
      </c>
      <c r="D5" s="6">
        <v>0.9113</v>
      </c>
      <c r="E5" s="6">
        <v>6.7999999999999996E-3</v>
      </c>
      <c r="F5" s="1">
        <f t="shared" ref="F5:G10" si="0">ABS(B5-D5)</f>
        <v>6.4999999999999503E-3</v>
      </c>
      <c r="G5" s="1">
        <f t="shared" si="0"/>
        <v>3.2999999999999995E-3</v>
      </c>
      <c r="H5" s="5">
        <f t="shared" ref="H5:H10" si="1">1/2*(F5+G5)</f>
        <v>4.8999999999999747E-3</v>
      </c>
      <c r="I5" s="3"/>
      <c r="J5" s="3"/>
      <c r="K5" s="3"/>
      <c r="L5" s="3"/>
      <c r="M5" s="3"/>
    </row>
    <row r="6" spans="1:13" ht="16" x14ac:dyDescent="0.2">
      <c r="A6" s="6" t="s">
        <v>8</v>
      </c>
      <c r="B6" s="6">
        <v>0.72729999999999995</v>
      </c>
      <c r="C6" s="6">
        <v>4.7999999999999996E-3</v>
      </c>
      <c r="D6" s="6">
        <v>0.86209999999999998</v>
      </c>
      <c r="E6" s="6">
        <v>8.8000000000000005E-3</v>
      </c>
      <c r="F6" s="1">
        <f t="shared" si="0"/>
        <v>0.13480000000000003</v>
      </c>
      <c r="G6" s="1">
        <f t="shared" si="0"/>
        <v>4.000000000000001E-3</v>
      </c>
      <c r="H6" s="5">
        <f t="shared" si="1"/>
        <v>6.9400000000000017E-2</v>
      </c>
      <c r="I6" s="3"/>
      <c r="J6" s="3"/>
      <c r="K6" s="3"/>
      <c r="L6" s="3"/>
      <c r="M6" s="3"/>
    </row>
    <row r="7" spans="1:13" ht="16" x14ac:dyDescent="0.2">
      <c r="A7" s="6" t="s">
        <v>9</v>
      </c>
      <c r="B7" s="6">
        <v>0.98950000000000005</v>
      </c>
      <c r="C7" s="6">
        <v>6.9900000000000004E-2</v>
      </c>
      <c r="D7" s="6">
        <v>0.96540000000000004</v>
      </c>
      <c r="E7" s="6">
        <v>7.8700000000000006E-2</v>
      </c>
      <c r="F7" s="1">
        <f>ABS(B7-D7)</f>
        <v>2.410000000000001E-2</v>
      </c>
      <c r="G7" s="1">
        <f t="shared" si="0"/>
        <v>8.8000000000000023E-3</v>
      </c>
      <c r="H7" s="5">
        <f t="shared" si="1"/>
        <v>1.6450000000000006E-2</v>
      </c>
      <c r="I7" s="3"/>
      <c r="J7" s="3"/>
      <c r="K7" s="3"/>
      <c r="L7" s="3"/>
      <c r="M7" s="3"/>
    </row>
    <row r="8" spans="1:13" ht="16" x14ac:dyDescent="0.2">
      <c r="A8" s="6" t="s">
        <v>10</v>
      </c>
      <c r="B8" s="6">
        <v>0.85709999999999997</v>
      </c>
      <c r="C8" s="6">
        <v>3.0000000000000001E-3</v>
      </c>
      <c r="D8" s="6">
        <v>0.61539999999999995</v>
      </c>
      <c r="E8" s="6">
        <v>2E-3</v>
      </c>
      <c r="F8" s="1">
        <f t="shared" si="0"/>
        <v>0.24170000000000003</v>
      </c>
      <c r="G8" s="1">
        <f t="shared" si="0"/>
        <v>1E-3</v>
      </c>
      <c r="H8" s="5">
        <f t="shared" si="1"/>
        <v>0.12135000000000001</v>
      </c>
      <c r="I8" s="3"/>
      <c r="J8" s="3"/>
      <c r="K8" s="3"/>
      <c r="L8" s="3"/>
      <c r="M8" s="3"/>
    </row>
    <row r="9" spans="1:13" ht="16" x14ac:dyDescent="0.2">
      <c r="A9" s="6" t="s">
        <v>11</v>
      </c>
      <c r="B9" s="6">
        <v>1</v>
      </c>
      <c r="C9" s="6">
        <v>1.1999999999999999E-3</v>
      </c>
      <c r="D9" s="6">
        <v>1</v>
      </c>
      <c r="E9" s="6">
        <v>4.4999999999999997E-3</v>
      </c>
      <c r="F9" s="1">
        <f t="shared" si="0"/>
        <v>0</v>
      </c>
      <c r="G9" s="1">
        <f t="shared" si="0"/>
        <v>3.3E-3</v>
      </c>
      <c r="H9" s="5">
        <f t="shared" si="1"/>
        <v>1.65E-3</v>
      </c>
      <c r="I9" s="7"/>
      <c r="J9" s="7"/>
      <c r="K9" s="7"/>
      <c r="L9" s="7"/>
      <c r="M9" s="7"/>
    </row>
    <row r="10" spans="1:13" ht="16" x14ac:dyDescent="0.2">
      <c r="A10" s="6" t="s">
        <v>12</v>
      </c>
      <c r="B10" s="6">
        <v>0.85</v>
      </c>
      <c r="C10" s="6">
        <v>1.8E-3</v>
      </c>
      <c r="D10" s="6">
        <v>0.78569999999999995</v>
      </c>
      <c r="E10" s="6">
        <v>7.3000000000000001E-3</v>
      </c>
      <c r="F10" s="1">
        <f t="shared" si="0"/>
        <v>6.4300000000000024E-2</v>
      </c>
      <c r="G10" s="1">
        <f t="shared" si="0"/>
        <v>5.4999999999999997E-3</v>
      </c>
      <c r="H10" s="5">
        <f t="shared" si="1"/>
        <v>3.4900000000000014E-2</v>
      </c>
    </row>
    <row r="11" spans="1:13" ht="16" x14ac:dyDescent="0.2">
      <c r="A11" s="12" t="s">
        <v>23</v>
      </c>
      <c r="B11" s="8"/>
      <c r="C11" s="8"/>
      <c r="D11" s="8"/>
      <c r="E11" s="8"/>
      <c r="F11" s="1">
        <f>1/7*(F4+F5+F6+F7+F8+F9+F10)</f>
        <v>6.7342857142857149E-2</v>
      </c>
    </row>
    <row r="12" spans="1:13" x14ac:dyDescent="0.2">
      <c r="A12" s="10"/>
      <c r="B12" s="10"/>
      <c r="C12" s="10"/>
      <c r="D12" s="10"/>
      <c r="E12" s="10"/>
    </row>
    <row r="13" spans="1:13" x14ac:dyDescent="0.2">
      <c r="A13" s="6"/>
      <c r="B13" s="10"/>
      <c r="C13" s="10"/>
      <c r="D13" s="10"/>
      <c r="E13" s="10"/>
    </row>
    <row r="14" spans="1:13" x14ac:dyDescent="0.2">
      <c r="A14" s="9"/>
      <c r="B14" s="10"/>
      <c r="C14" s="10"/>
      <c r="D14" s="10"/>
      <c r="E14" s="10"/>
    </row>
    <row r="15" spans="1:13" x14ac:dyDescent="0.2">
      <c r="A15" s="11" t="s">
        <v>17</v>
      </c>
      <c r="B15" s="11"/>
      <c r="C15" s="11"/>
      <c r="D15" s="11"/>
      <c r="E15" s="11"/>
    </row>
    <row r="16" spans="1:13" x14ac:dyDescent="0.2">
      <c r="A16" s="11"/>
      <c r="B16" s="11"/>
      <c r="C16" s="11"/>
      <c r="D16" s="11"/>
      <c r="E16" s="11"/>
    </row>
    <row r="17" spans="1:8" ht="16" x14ac:dyDescent="0.2">
      <c r="A17" s="4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5" t="s">
        <v>20</v>
      </c>
      <c r="G17" s="5" t="s">
        <v>21</v>
      </c>
      <c r="H17" s="5" t="s">
        <v>22</v>
      </c>
    </row>
    <row r="18" spans="1:8" ht="16" x14ac:dyDescent="0.2">
      <c r="A18" s="6" t="s">
        <v>6</v>
      </c>
      <c r="B18" s="6">
        <v>1</v>
      </c>
      <c r="C18" s="6">
        <v>0</v>
      </c>
      <c r="D18" s="6">
        <v>1</v>
      </c>
      <c r="E18" s="6">
        <v>0</v>
      </c>
      <c r="F18" s="1">
        <f>ABS(B18-D18)</f>
        <v>0</v>
      </c>
      <c r="G18" s="1">
        <f>ABS(C18-E18)</f>
        <v>0</v>
      </c>
      <c r="H18" s="5">
        <f>1/2*(F18+G18)</f>
        <v>0</v>
      </c>
    </row>
    <row r="19" spans="1:8" ht="16" x14ac:dyDescent="0.2">
      <c r="A19" s="6" t="s">
        <v>7</v>
      </c>
      <c r="B19" s="6">
        <v>0.9405</v>
      </c>
      <c r="C19" s="6">
        <v>9.7000000000000003E-3</v>
      </c>
      <c r="D19" s="6">
        <v>0.9677</v>
      </c>
      <c r="E19" s="6">
        <v>6.7999999999999996E-3</v>
      </c>
      <c r="F19" s="1">
        <f t="shared" ref="F19:G24" si="2">ABS(B19-D19)</f>
        <v>2.7200000000000002E-2</v>
      </c>
      <c r="G19" s="1">
        <f>ABS(C19-E19)</f>
        <v>2.9000000000000007E-3</v>
      </c>
      <c r="H19" s="5">
        <f>1/2*(F19+G19)</f>
        <v>1.5050000000000001E-2</v>
      </c>
    </row>
    <row r="20" spans="1:8" ht="16" x14ac:dyDescent="0.2">
      <c r="A20" s="6" t="s">
        <v>8</v>
      </c>
      <c r="B20" s="6">
        <v>0.90910000000000002</v>
      </c>
      <c r="C20" s="6">
        <v>2.3999999999999998E-3</v>
      </c>
      <c r="D20" s="6">
        <v>0.91949999999999998</v>
      </c>
      <c r="E20" s="6">
        <v>1.4200000000000001E-2</v>
      </c>
      <c r="F20" s="1">
        <f t="shared" si="2"/>
        <v>1.0399999999999965E-2</v>
      </c>
      <c r="G20" s="1">
        <f t="shared" si="2"/>
        <v>1.1800000000000001E-2</v>
      </c>
      <c r="H20" s="5">
        <f t="shared" ref="H20:H24" si="3">1/2*(F20+G20)</f>
        <v>1.1099999999999983E-2</v>
      </c>
    </row>
    <row r="21" spans="1:8" ht="16" x14ac:dyDescent="0.2">
      <c r="A21" s="6" t="s">
        <v>9</v>
      </c>
      <c r="B21" s="6">
        <v>0.98309999999999997</v>
      </c>
      <c r="C21" s="6">
        <v>4.1500000000000002E-2</v>
      </c>
      <c r="D21" s="6">
        <v>0.96050000000000002</v>
      </c>
      <c r="E21" s="6">
        <v>3.5499999999999997E-2</v>
      </c>
      <c r="F21" s="1">
        <f t="shared" si="2"/>
        <v>2.2599999999999953E-2</v>
      </c>
      <c r="G21" s="1">
        <f t="shared" si="2"/>
        <v>6.0000000000000053E-3</v>
      </c>
      <c r="H21" s="5">
        <f t="shared" si="3"/>
        <v>1.4299999999999979E-2</v>
      </c>
    </row>
    <row r="22" spans="1:8" ht="16" x14ac:dyDescent="0.2">
      <c r="A22" s="6" t="s">
        <v>10</v>
      </c>
      <c r="B22" s="6">
        <v>0.90480000000000005</v>
      </c>
      <c r="C22" s="6">
        <v>5.9999999999999995E-4</v>
      </c>
      <c r="D22" s="6">
        <v>0.84619999999999995</v>
      </c>
      <c r="E22" s="6">
        <v>2E-3</v>
      </c>
      <c r="F22" s="1">
        <f t="shared" si="2"/>
        <v>5.8600000000000096E-2</v>
      </c>
      <c r="G22" s="1">
        <f t="shared" si="2"/>
        <v>1.4000000000000002E-3</v>
      </c>
      <c r="H22" s="5">
        <f t="shared" si="3"/>
        <v>3.0000000000000047E-2</v>
      </c>
    </row>
    <row r="23" spans="1:8" ht="16" x14ac:dyDescent="0.2">
      <c r="A23" s="6" t="s">
        <v>11</v>
      </c>
      <c r="B23" s="6">
        <v>1</v>
      </c>
      <c r="C23" s="6">
        <v>1.9E-3</v>
      </c>
      <c r="D23" s="6">
        <v>0.99150000000000005</v>
      </c>
      <c r="E23" s="6">
        <v>4.4999999999999997E-3</v>
      </c>
      <c r="F23" s="1">
        <f t="shared" si="2"/>
        <v>8.499999999999952E-3</v>
      </c>
      <c r="G23" s="1">
        <f t="shared" si="2"/>
        <v>2.5999999999999999E-3</v>
      </c>
      <c r="H23" s="5">
        <f t="shared" si="3"/>
        <v>5.549999999999976E-3</v>
      </c>
    </row>
    <row r="24" spans="1:8" ht="16" x14ac:dyDescent="0.2">
      <c r="A24" s="6" t="s">
        <v>12</v>
      </c>
      <c r="B24" s="6">
        <v>0.95</v>
      </c>
      <c r="C24" s="6">
        <v>1.1999999999999999E-3</v>
      </c>
      <c r="D24" s="6">
        <v>0.85709999999999997</v>
      </c>
      <c r="E24" s="6">
        <v>5.1999999999999998E-3</v>
      </c>
      <c r="F24" s="1">
        <f t="shared" si="2"/>
        <v>9.2899999999999983E-2</v>
      </c>
      <c r="G24" s="1">
        <f t="shared" si="2"/>
        <v>4.0000000000000001E-3</v>
      </c>
      <c r="H24" s="5">
        <f t="shared" si="3"/>
        <v>4.8449999999999993E-2</v>
      </c>
    </row>
    <row r="25" spans="1:8" ht="16" x14ac:dyDescent="0.2">
      <c r="A25" s="12" t="s">
        <v>23</v>
      </c>
      <c r="B25" s="8"/>
      <c r="C25" s="8"/>
      <c r="D25" s="8"/>
      <c r="E25" s="8"/>
      <c r="F25" s="1">
        <f>1/7*(F18+F19+F20+F21+F22+F23+F24)</f>
        <v>3.145714285714285E-2</v>
      </c>
    </row>
    <row r="26" spans="1:8" x14ac:dyDescent="0.2">
      <c r="A26" s="10"/>
      <c r="B26" s="10"/>
      <c r="C26" s="10"/>
      <c r="D26" s="10"/>
      <c r="E26" s="10"/>
    </row>
    <row r="27" spans="1:8" x14ac:dyDescent="0.2">
      <c r="A27" s="6"/>
      <c r="B27" s="10"/>
      <c r="C27" s="10"/>
      <c r="D27" s="10"/>
      <c r="E27" s="10"/>
    </row>
    <row r="28" spans="1:8" x14ac:dyDescent="0.2">
      <c r="A28" s="9"/>
      <c r="B28" s="10"/>
      <c r="C28" s="10"/>
      <c r="D28" s="10"/>
      <c r="E28" s="10"/>
    </row>
    <row r="29" spans="1:8" x14ac:dyDescent="0.2">
      <c r="A29" s="11" t="s">
        <v>18</v>
      </c>
      <c r="B29" s="11"/>
      <c r="C29" s="11"/>
      <c r="D29" s="11"/>
      <c r="E29" s="11"/>
    </row>
    <row r="30" spans="1:8" x14ac:dyDescent="0.2">
      <c r="A30" s="11"/>
      <c r="B30" s="11"/>
      <c r="C30" s="11"/>
      <c r="D30" s="11"/>
      <c r="E30" s="11"/>
    </row>
    <row r="31" spans="1:8" ht="16" x14ac:dyDescent="0.2">
      <c r="A31" s="4" t="s">
        <v>1</v>
      </c>
      <c r="B31" s="4" t="s">
        <v>2</v>
      </c>
      <c r="C31" s="4" t="s">
        <v>3</v>
      </c>
      <c r="D31" s="4" t="s">
        <v>4</v>
      </c>
      <c r="E31" s="4" t="s">
        <v>5</v>
      </c>
      <c r="F31" s="5" t="s">
        <v>20</v>
      </c>
      <c r="G31" s="5" t="s">
        <v>21</v>
      </c>
      <c r="H31" s="5" t="s">
        <v>22</v>
      </c>
    </row>
    <row r="32" spans="1:8" ht="16" x14ac:dyDescent="0.2">
      <c r="A32" s="6" t="s">
        <v>6</v>
      </c>
      <c r="B32" s="6">
        <v>1</v>
      </c>
      <c r="C32" s="6">
        <v>0</v>
      </c>
      <c r="D32" s="6">
        <v>1</v>
      </c>
      <c r="E32" s="6">
        <v>0</v>
      </c>
      <c r="F32" s="1">
        <f>ABS(B32-D32)</f>
        <v>0</v>
      </c>
      <c r="G32" s="1">
        <f>ABS(C32-E32)</f>
        <v>0</v>
      </c>
      <c r="H32" s="5">
        <f>1/2*(F32+G32)</f>
        <v>0</v>
      </c>
    </row>
    <row r="33" spans="1:8" ht="16" x14ac:dyDescent="0.2">
      <c r="A33" s="6" t="s">
        <v>7</v>
      </c>
      <c r="B33" s="6">
        <v>0.92059999999999997</v>
      </c>
      <c r="C33" s="6">
        <v>3.5000000000000001E-3</v>
      </c>
      <c r="D33" s="6">
        <v>0.9597</v>
      </c>
      <c r="E33" s="6">
        <v>6.7999999999999996E-3</v>
      </c>
      <c r="F33" s="1">
        <f t="shared" ref="F33:G38" si="4">ABS(B33-D33)</f>
        <v>3.9100000000000024E-2</v>
      </c>
      <c r="G33" s="1">
        <f t="shared" si="4"/>
        <v>3.2999999999999995E-3</v>
      </c>
      <c r="H33" s="5">
        <f t="shared" ref="H33:H38" si="5">1/2*(F33+G33)</f>
        <v>2.1200000000000011E-2</v>
      </c>
    </row>
    <row r="34" spans="1:8" ht="16" x14ac:dyDescent="0.2">
      <c r="A34" s="6" t="s">
        <v>8</v>
      </c>
      <c r="B34" s="6">
        <v>0.81820000000000004</v>
      </c>
      <c r="C34" s="6">
        <v>5.9999999999999995E-4</v>
      </c>
      <c r="D34" s="6">
        <v>0.8276</v>
      </c>
      <c r="E34" s="6">
        <v>6.6E-3</v>
      </c>
      <c r="F34" s="1">
        <f t="shared" si="4"/>
        <v>9.3999999999999639E-3</v>
      </c>
      <c r="G34" s="1">
        <f t="shared" si="4"/>
        <v>6.0000000000000001E-3</v>
      </c>
      <c r="H34" s="5">
        <f t="shared" si="5"/>
        <v>7.699999999999982E-3</v>
      </c>
    </row>
    <row r="35" spans="1:8" ht="16" x14ac:dyDescent="0.2">
      <c r="A35" s="6" t="s">
        <v>9</v>
      </c>
      <c r="B35" s="6">
        <v>0.99199999999999999</v>
      </c>
      <c r="C35" s="6">
        <v>6.1100000000000002E-2</v>
      </c>
      <c r="D35" s="6">
        <v>0.97360000000000002</v>
      </c>
      <c r="E35" s="6">
        <v>5.8400000000000001E-2</v>
      </c>
      <c r="F35" s="1">
        <f t="shared" si="4"/>
        <v>1.8399999999999972E-2</v>
      </c>
      <c r="G35" s="1">
        <f t="shared" si="4"/>
        <v>2.700000000000001E-3</v>
      </c>
      <c r="H35" s="5">
        <f t="shared" si="5"/>
        <v>1.0549999999999986E-2</v>
      </c>
    </row>
    <row r="36" spans="1:8" ht="16" x14ac:dyDescent="0.2">
      <c r="A36" s="6" t="s">
        <v>10</v>
      </c>
      <c r="B36" s="6">
        <v>0.8095</v>
      </c>
      <c r="C36" s="6">
        <v>1.1999999999999999E-3</v>
      </c>
      <c r="D36" s="6">
        <v>0.69230000000000003</v>
      </c>
      <c r="E36" s="6">
        <v>1E-3</v>
      </c>
      <c r="F36" s="1">
        <f t="shared" si="4"/>
        <v>0.11719999999999997</v>
      </c>
      <c r="G36" s="1">
        <f t="shared" si="4"/>
        <v>1.9999999999999987E-4</v>
      </c>
      <c r="H36" s="5">
        <f t="shared" si="5"/>
        <v>5.8699999999999988E-2</v>
      </c>
    </row>
    <row r="37" spans="1:8" ht="16" x14ac:dyDescent="0.2">
      <c r="A37" s="6" t="s">
        <v>11</v>
      </c>
      <c r="B37" s="6">
        <v>1</v>
      </c>
      <c r="C37" s="6">
        <v>1.9E-3</v>
      </c>
      <c r="D37" s="6">
        <v>0.99150000000000005</v>
      </c>
      <c r="E37" s="6">
        <v>5.7000000000000002E-3</v>
      </c>
      <c r="F37" s="1">
        <f t="shared" si="4"/>
        <v>8.499999999999952E-3</v>
      </c>
      <c r="G37" s="1">
        <f t="shared" si="4"/>
        <v>3.8000000000000004E-3</v>
      </c>
      <c r="H37" s="5">
        <f t="shared" si="5"/>
        <v>6.1499999999999767E-3</v>
      </c>
    </row>
    <row r="38" spans="1:8" ht="16" x14ac:dyDescent="0.2">
      <c r="A38" s="6" t="s">
        <v>12</v>
      </c>
      <c r="B38" s="6">
        <v>0.97499999999999998</v>
      </c>
      <c r="C38" s="6">
        <v>1.1999999999999999E-3</v>
      </c>
      <c r="D38" s="6">
        <v>0.83330000000000004</v>
      </c>
      <c r="E38" s="6">
        <v>7.3000000000000001E-3</v>
      </c>
      <c r="F38" s="1">
        <f t="shared" si="4"/>
        <v>0.14169999999999994</v>
      </c>
      <c r="G38" s="1">
        <f t="shared" si="4"/>
        <v>6.1000000000000004E-3</v>
      </c>
      <c r="H38" s="5">
        <f t="shared" si="5"/>
        <v>7.3899999999999966E-2</v>
      </c>
    </row>
    <row r="39" spans="1:8" ht="16" x14ac:dyDescent="0.2">
      <c r="A39" s="8" t="s">
        <v>23</v>
      </c>
      <c r="B39" s="6"/>
      <c r="C39" s="6"/>
      <c r="D39" s="6"/>
      <c r="E39" s="6"/>
      <c r="F39" s="1">
        <f>1/7*(F32+F33+F34+F35+F36+F37+F38)</f>
        <v>4.7757142857142831E-2</v>
      </c>
    </row>
    <row r="40" spans="1:8" x14ac:dyDescent="0.2">
      <c r="A40" s="10"/>
      <c r="B40" s="10"/>
      <c r="C40" s="10"/>
      <c r="D40" s="10"/>
      <c r="E40" s="10"/>
    </row>
    <row r="41" spans="1:8" x14ac:dyDescent="0.2">
      <c r="A41" s="6"/>
      <c r="B41" s="10"/>
      <c r="C41" s="10"/>
      <c r="D41" s="10"/>
      <c r="E41" s="10"/>
    </row>
    <row r="42" spans="1:8" x14ac:dyDescent="0.2">
      <c r="A42" s="9"/>
      <c r="B42" s="10"/>
      <c r="C42" s="10"/>
      <c r="D42" s="10"/>
      <c r="E42" s="10"/>
    </row>
    <row r="43" spans="1:8" x14ac:dyDescent="0.2">
      <c r="A43" s="11" t="s">
        <v>19</v>
      </c>
      <c r="B43" s="11"/>
      <c r="C43" s="11"/>
      <c r="D43" s="11"/>
      <c r="E43" s="11"/>
    </row>
    <row r="44" spans="1:8" x14ac:dyDescent="0.2">
      <c r="A44" s="11"/>
      <c r="B44" s="11"/>
      <c r="C44" s="11"/>
      <c r="D44" s="11"/>
      <c r="E44" s="11"/>
    </row>
    <row r="45" spans="1:8" ht="16" x14ac:dyDescent="0.2">
      <c r="A45" s="4" t="s">
        <v>1</v>
      </c>
      <c r="B45" s="4" t="s">
        <v>2</v>
      </c>
      <c r="C45" s="4" t="s">
        <v>3</v>
      </c>
      <c r="D45" s="4" t="s">
        <v>4</v>
      </c>
      <c r="E45" s="4" t="s">
        <v>5</v>
      </c>
      <c r="F45" s="5" t="s">
        <v>20</v>
      </c>
      <c r="G45" s="5" t="s">
        <v>21</v>
      </c>
      <c r="H45" s="5" t="s">
        <v>22</v>
      </c>
    </row>
    <row r="46" spans="1:8" ht="16" x14ac:dyDescent="0.2">
      <c r="A46" s="6" t="s">
        <v>6</v>
      </c>
      <c r="B46" s="6">
        <v>1</v>
      </c>
      <c r="C46" s="6">
        <v>0</v>
      </c>
      <c r="D46" s="6">
        <v>1</v>
      </c>
      <c r="E46" s="6">
        <v>0</v>
      </c>
      <c r="F46" s="1">
        <f>ABS(B46-D46)</f>
        <v>0</v>
      </c>
      <c r="G46" s="1">
        <f>ABS(C46-E46)</f>
        <v>0</v>
      </c>
      <c r="H46" s="5">
        <f>1/2*(F46+G46)</f>
        <v>0</v>
      </c>
    </row>
    <row r="47" spans="1:8" ht="16" x14ac:dyDescent="0.2">
      <c r="A47" s="6" t="s">
        <v>7</v>
      </c>
      <c r="B47" s="6">
        <v>0.92859999999999998</v>
      </c>
      <c r="C47" s="6">
        <v>4.7999999999999996E-3</v>
      </c>
      <c r="D47" s="6">
        <v>1</v>
      </c>
      <c r="E47" s="6">
        <v>0</v>
      </c>
      <c r="F47" s="1">
        <f t="shared" ref="F47:G52" si="6">ABS(B47-D47)</f>
        <v>7.1400000000000019E-2</v>
      </c>
      <c r="G47" s="1">
        <f t="shared" si="6"/>
        <v>4.7999999999999996E-3</v>
      </c>
      <c r="H47" s="5">
        <f t="shared" ref="H47:H52" si="7">1/2*(F47+G47)</f>
        <v>3.8100000000000009E-2</v>
      </c>
    </row>
    <row r="48" spans="1:8" ht="16" x14ac:dyDescent="0.2">
      <c r="A48" s="6" t="s">
        <v>8</v>
      </c>
      <c r="B48" s="6">
        <v>0.81820000000000004</v>
      </c>
      <c r="C48" s="6">
        <v>1.1999999999999999E-3</v>
      </c>
      <c r="D48" s="6">
        <v>0.8851</v>
      </c>
      <c r="E48" s="6">
        <v>3.3E-3</v>
      </c>
      <c r="F48" s="1">
        <f t="shared" si="6"/>
        <v>6.6899999999999959E-2</v>
      </c>
      <c r="G48" s="1">
        <f t="shared" si="6"/>
        <v>2.1000000000000003E-3</v>
      </c>
      <c r="H48" s="5">
        <f t="shared" si="7"/>
        <v>3.4499999999999982E-2</v>
      </c>
    </row>
    <row r="49" spans="1:14" ht="16" x14ac:dyDescent="0.2">
      <c r="A49" s="6" t="s">
        <v>9</v>
      </c>
      <c r="B49" s="6">
        <v>0.99360000000000004</v>
      </c>
      <c r="C49" s="6">
        <v>5.8999999999999997E-2</v>
      </c>
      <c r="D49" s="6">
        <v>0.99180000000000001</v>
      </c>
      <c r="E49" s="6">
        <v>4.0599999999999997E-2</v>
      </c>
      <c r="F49" s="1">
        <f t="shared" si="6"/>
        <v>1.8000000000000238E-3</v>
      </c>
      <c r="G49" s="1">
        <f t="shared" si="6"/>
        <v>1.84E-2</v>
      </c>
      <c r="H49" s="5">
        <f t="shared" si="7"/>
        <v>1.0100000000000012E-2</v>
      </c>
    </row>
    <row r="50" spans="1:14" ht="16" x14ac:dyDescent="0.2">
      <c r="A50" s="6" t="s">
        <v>10</v>
      </c>
      <c r="B50" s="6">
        <v>0.85709999999999997</v>
      </c>
      <c r="C50" s="6">
        <v>5.9999999999999995E-4</v>
      </c>
      <c r="D50" s="6">
        <v>0.84619999999999995</v>
      </c>
      <c r="E50" s="6">
        <v>0</v>
      </c>
      <c r="F50" s="1">
        <f t="shared" si="6"/>
        <v>1.0900000000000021E-2</v>
      </c>
      <c r="G50" s="1">
        <f t="shared" si="6"/>
        <v>5.9999999999999995E-4</v>
      </c>
      <c r="H50" s="5">
        <f t="shared" si="7"/>
        <v>5.7500000000000103E-3</v>
      </c>
    </row>
    <row r="51" spans="1:14" ht="16" x14ac:dyDescent="0.2">
      <c r="A51" s="6" t="s">
        <v>11</v>
      </c>
      <c r="B51" s="6">
        <v>0.97960000000000003</v>
      </c>
      <c r="C51" s="6">
        <v>5.9999999999999995E-4</v>
      </c>
      <c r="D51" s="6">
        <v>0.96579999999999999</v>
      </c>
      <c r="E51" s="6">
        <v>1.1000000000000001E-3</v>
      </c>
      <c r="F51" s="1">
        <f t="shared" si="6"/>
        <v>1.3800000000000034E-2</v>
      </c>
      <c r="G51" s="1">
        <f t="shared" si="6"/>
        <v>5.0000000000000012E-4</v>
      </c>
      <c r="H51" s="5">
        <f t="shared" si="7"/>
        <v>7.1500000000000175E-3</v>
      </c>
      <c r="J51" s="2"/>
      <c r="K51" s="2"/>
      <c r="L51" s="2"/>
      <c r="M51" s="2"/>
      <c r="N51" s="2"/>
    </row>
    <row r="52" spans="1:14" ht="16" x14ac:dyDescent="0.2">
      <c r="A52" s="6" t="s">
        <v>12</v>
      </c>
      <c r="B52" s="6">
        <v>0.97499999999999998</v>
      </c>
      <c r="C52" s="6">
        <v>0</v>
      </c>
      <c r="D52" s="6">
        <v>0.88100000000000001</v>
      </c>
      <c r="E52" s="6">
        <v>6.3E-3</v>
      </c>
      <c r="F52" s="1">
        <f t="shared" si="6"/>
        <v>9.3999999999999972E-2</v>
      </c>
      <c r="G52" s="1">
        <f t="shared" si="6"/>
        <v>6.3E-3</v>
      </c>
      <c r="H52" s="5">
        <f t="shared" si="7"/>
        <v>5.0149999999999986E-2</v>
      </c>
      <c r="J52" s="3"/>
      <c r="K52" s="3"/>
      <c r="L52" s="3"/>
      <c r="M52" s="3"/>
      <c r="N52" s="3"/>
    </row>
    <row r="53" spans="1:14" ht="16" x14ac:dyDescent="0.2">
      <c r="A53" s="8" t="s">
        <v>23</v>
      </c>
      <c r="B53" s="6"/>
      <c r="C53" s="6"/>
      <c r="D53" s="6"/>
      <c r="E53" s="6"/>
      <c r="F53" s="1">
        <f>1/7*(F46+F47+F48+F49+F50+F51+F52)</f>
        <v>3.6971428571428572E-2</v>
      </c>
      <c r="I53" s="2"/>
      <c r="J53" s="3"/>
      <c r="K53" s="3"/>
      <c r="L53" s="3"/>
      <c r="M53" s="3"/>
      <c r="N53" s="3"/>
    </row>
    <row r="54" spans="1:14" x14ac:dyDescent="0.2">
      <c r="A54" s="10"/>
      <c r="B54" s="10"/>
      <c r="C54" s="10"/>
      <c r="D54" s="10"/>
      <c r="E54" s="10"/>
      <c r="G54" s="3"/>
      <c r="H54" s="3"/>
      <c r="I54" s="3"/>
      <c r="J54" s="3"/>
      <c r="K54" s="3"/>
      <c r="L54" s="3"/>
      <c r="M54" s="3"/>
      <c r="N54" s="3"/>
    </row>
    <row r="55" spans="1:14" x14ac:dyDescent="0.2">
      <c r="A55" s="6"/>
      <c r="B55" s="10"/>
      <c r="C55" s="10"/>
      <c r="D55" s="10"/>
      <c r="E55" s="10"/>
      <c r="G55" s="3"/>
      <c r="H55" s="3"/>
      <c r="I55" s="3"/>
      <c r="J55" s="3"/>
      <c r="K55" s="3"/>
      <c r="L55" s="3"/>
      <c r="M55" s="3"/>
      <c r="N55" s="3"/>
    </row>
    <row r="56" spans="1:14" x14ac:dyDescent="0.2">
      <c r="A56" s="9"/>
      <c r="B56" s="10"/>
      <c r="C56" s="10"/>
      <c r="D56" s="10"/>
      <c r="E56" s="10"/>
      <c r="G56" s="3"/>
      <c r="H56" s="3"/>
      <c r="I56" s="3"/>
      <c r="J56" s="3"/>
      <c r="K56" s="3"/>
      <c r="L56" s="3"/>
      <c r="M56" s="3"/>
      <c r="N56" s="3"/>
    </row>
    <row r="57" spans="1:14" x14ac:dyDescent="0.2">
      <c r="G57" s="3"/>
      <c r="H57" s="3"/>
      <c r="I57" s="3"/>
      <c r="J57" s="3"/>
      <c r="K57" s="3"/>
      <c r="L57" s="3"/>
      <c r="M57" s="3"/>
      <c r="N57" s="3"/>
    </row>
    <row r="58" spans="1:14" x14ac:dyDescent="0.2">
      <c r="G58" s="3"/>
      <c r="H58" s="3"/>
      <c r="I58" s="3"/>
      <c r="J58" s="3"/>
      <c r="K58" s="3"/>
      <c r="L58" s="3"/>
      <c r="M58" s="3"/>
      <c r="N58" s="3"/>
    </row>
    <row r="59" spans="1:14" x14ac:dyDescent="0.2">
      <c r="G59" s="3"/>
      <c r="H59" s="3"/>
      <c r="I59" s="3"/>
      <c r="J59" s="7"/>
      <c r="K59" s="3"/>
      <c r="L59" s="3"/>
      <c r="M59" s="3"/>
      <c r="N59" s="3"/>
    </row>
    <row r="60" spans="1:14" x14ac:dyDescent="0.2">
      <c r="G60" s="3"/>
      <c r="H60" s="3"/>
      <c r="I60" s="3"/>
      <c r="J60" s="3"/>
      <c r="K60" s="3"/>
    </row>
    <row r="61" spans="1:14" x14ac:dyDescent="0.2">
      <c r="G61" s="7"/>
      <c r="H61" s="3"/>
      <c r="I61" s="3"/>
      <c r="J61" s="3"/>
      <c r="K61" s="3"/>
    </row>
  </sheetData>
  <mergeCells count="16">
    <mergeCell ref="A43:E44"/>
    <mergeCell ref="A54:E54"/>
    <mergeCell ref="B55:E55"/>
    <mergeCell ref="B56:E56"/>
    <mergeCell ref="B27:E27"/>
    <mergeCell ref="B28:E28"/>
    <mergeCell ref="A29:E30"/>
    <mergeCell ref="A40:E40"/>
    <mergeCell ref="B41:E41"/>
    <mergeCell ref="B42:E42"/>
    <mergeCell ref="A1:E2"/>
    <mergeCell ref="A12:E12"/>
    <mergeCell ref="B13:E13"/>
    <mergeCell ref="B14:E14"/>
    <mergeCell ref="A15:E16"/>
    <mergeCell ref="A26:E2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opLeftCell="A32" zoomScale="196" zoomScaleNormal="196" workbookViewId="0">
      <selection activeCell="I45" sqref="I45"/>
    </sheetView>
  </sheetViews>
  <sheetFormatPr baseColWidth="10" defaultColWidth="9" defaultRowHeight="15" x14ac:dyDescent="0.2"/>
  <cols>
    <col min="1" max="1" width="25.5" style="1" customWidth="1"/>
    <col min="2" max="16384" width="9" style="1"/>
  </cols>
  <sheetData>
    <row r="1" spans="1:13" x14ac:dyDescent="0.2">
      <c r="A1" s="11" t="s">
        <v>0</v>
      </c>
      <c r="B1" s="11"/>
      <c r="C1" s="11"/>
      <c r="D1" s="11"/>
      <c r="E1" s="11"/>
      <c r="I1" s="2"/>
      <c r="J1" s="2"/>
      <c r="K1" s="2"/>
      <c r="L1" s="2"/>
      <c r="M1" s="2"/>
    </row>
    <row r="2" spans="1:13" x14ac:dyDescent="0.2">
      <c r="A2" s="11"/>
      <c r="B2" s="11"/>
      <c r="C2" s="11"/>
      <c r="D2" s="11"/>
      <c r="E2" s="11"/>
      <c r="I2" s="3"/>
      <c r="J2" s="3"/>
      <c r="K2" s="3"/>
      <c r="L2" s="3"/>
      <c r="M2" s="3"/>
    </row>
    <row r="3" spans="1:13" ht="32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20</v>
      </c>
      <c r="G3" s="5" t="s">
        <v>21</v>
      </c>
      <c r="H3" s="5" t="s">
        <v>22</v>
      </c>
      <c r="I3" s="3"/>
      <c r="J3" s="3"/>
      <c r="K3" s="3"/>
      <c r="L3" s="3"/>
      <c r="M3" s="3"/>
    </row>
    <row r="4" spans="1:13" ht="16" x14ac:dyDescent="0.2">
      <c r="A4" s="6" t="s">
        <v>6</v>
      </c>
      <c r="B4" s="6">
        <v>1</v>
      </c>
      <c r="C4" s="6">
        <v>0</v>
      </c>
      <c r="D4" s="6">
        <v>1</v>
      </c>
      <c r="E4" s="6">
        <v>0</v>
      </c>
      <c r="F4" s="1">
        <f>ABS(B4-D4)</f>
        <v>0</v>
      </c>
      <c r="G4" s="1">
        <f>ABS(C4-E4)</f>
        <v>0</v>
      </c>
      <c r="H4" s="5">
        <f>1/2*(F4+G4)</f>
        <v>0</v>
      </c>
      <c r="I4" s="3"/>
      <c r="J4" s="3"/>
      <c r="K4" s="3"/>
      <c r="L4" s="3"/>
      <c r="M4" s="3"/>
    </row>
    <row r="5" spans="1:13" ht="16" x14ac:dyDescent="0.2">
      <c r="A5" s="6" t="s">
        <v>7</v>
      </c>
      <c r="B5" s="6">
        <v>0.90480000000000005</v>
      </c>
      <c r="C5" s="6">
        <v>3.5000000000000001E-3</v>
      </c>
      <c r="D5" s="6">
        <v>0.9113</v>
      </c>
      <c r="E5" s="6">
        <v>6.7999999999999996E-3</v>
      </c>
      <c r="F5" s="1">
        <f t="shared" ref="F5:F10" si="0">ABS(B5-D5)</f>
        <v>6.4999999999999503E-3</v>
      </c>
      <c r="G5" s="1">
        <f t="shared" ref="G5:G10" si="1">ABS(C5-E5)</f>
        <v>3.2999999999999995E-3</v>
      </c>
      <c r="H5" s="5">
        <f t="shared" ref="H5:H10" si="2">1/2*(F5+G5)</f>
        <v>4.8999999999999747E-3</v>
      </c>
      <c r="I5" s="3"/>
      <c r="J5" s="3"/>
      <c r="K5" s="3"/>
      <c r="L5" s="3"/>
      <c r="M5" s="3"/>
    </row>
    <row r="6" spans="1:13" ht="16" x14ac:dyDescent="0.2">
      <c r="A6" s="6" t="s">
        <v>8</v>
      </c>
      <c r="B6" s="6">
        <v>0.72729999999999995</v>
      </c>
      <c r="C6" s="6">
        <v>4.7999999999999996E-3</v>
      </c>
      <c r="D6" s="6">
        <v>0.86209999999999998</v>
      </c>
      <c r="E6" s="6">
        <v>8.8000000000000005E-3</v>
      </c>
      <c r="F6" s="1">
        <f t="shared" si="0"/>
        <v>0.13480000000000003</v>
      </c>
      <c r="G6" s="1">
        <f t="shared" si="1"/>
        <v>4.000000000000001E-3</v>
      </c>
      <c r="H6" s="5">
        <f t="shared" si="2"/>
        <v>6.9400000000000017E-2</v>
      </c>
      <c r="I6" s="3"/>
      <c r="J6" s="3"/>
      <c r="K6" s="3"/>
      <c r="L6" s="3"/>
      <c r="M6" s="3"/>
    </row>
    <row r="7" spans="1:13" ht="16" x14ac:dyDescent="0.2">
      <c r="A7" s="6" t="s">
        <v>9</v>
      </c>
      <c r="B7" s="6">
        <v>0.98950000000000005</v>
      </c>
      <c r="C7" s="6">
        <v>6.9900000000000004E-2</v>
      </c>
      <c r="D7" s="6">
        <v>0.96540000000000004</v>
      </c>
      <c r="E7" s="6">
        <v>7.8700000000000006E-2</v>
      </c>
      <c r="F7" s="1">
        <f>ABS(B7-D7)</f>
        <v>2.410000000000001E-2</v>
      </c>
      <c r="G7" s="1">
        <f t="shared" si="1"/>
        <v>8.8000000000000023E-3</v>
      </c>
      <c r="H7" s="5">
        <f t="shared" si="2"/>
        <v>1.6450000000000006E-2</v>
      </c>
      <c r="I7" s="3"/>
      <c r="J7" s="3"/>
      <c r="K7" s="3"/>
      <c r="L7" s="3"/>
      <c r="M7" s="3"/>
    </row>
    <row r="8" spans="1:13" ht="16" x14ac:dyDescent="0.2">
      <c r="A8" s="6" t="s">
        <v>10</v>
      </c>
      <c r="B8" s="6">
        <v>0.85709999999999997</v>
      </c>
      <c r="C8" s="6">
        <v>3.0000000000000001E-3</v>
      </c>
      <c r="D8" s="6">
        <v>0.61539999999999995</v>
      </c>
      <c r="E8" s="6">
        <v>2E-3</v>
      </c>
      <c r="F8" s="1">
        <f t="shared" si="0"/>
        <v>0.24170000000000003</v>
      </c>
      <c r="G8" s="1">
        <f t="shared" si="1"/>
        <v>1E-3</v>
      </c>
      <c r="H8" s="5">
        <f t="shared" si="2"/>
        <v>0.12135000000000001</v>
      </c>
      <c r="I8" s="3"/>
      <c r="J8" s="3"/>
      <c r="K8" s="3"/>
      <c r="L8" s="3"/>
      <c r="M8" s="3"/>
    </row>
    <row r="9" spans="1:13" ht="16" x14ac:dyDescent="0.2">
      <c r="A9" s="6" t="s">
        <v>11</v>
      </c>
      <c r="B9" s="6">
        <v>1</v>
      </c>
      <c r="C9" s="6">
        <v>1.1999999999999999E-3</v>
      </c>
      <c r="D9" s="6">
        <v>1</v>
      </c>
      <c r="E9" s="6">
        <v>4.4999999999999997E-3</v>
      </c>
      <c r="F9" s="1">
        <f t="shared" si="0"/>
        <v>0</v>
      </c>
      <c r="G9" s="1">
        <f t="shared" si="1"/>
        <v>3.3E-3</v>
      </c>
      <c r="H9" s="5">
        <f t="shared" si="2"/>
        <v>1.65E-3</v>
      </c>
      <c r="I9" s="7"/>
      <c r="J9" s="7"/>
      <c r="K9" s="7"/>
      <c r="L9" s="7"/>
      <c r="M9" s="7"/>
    </row>
    <row r="10" spans="1:13" ht="16" x14ac:dyDescent="0.2">
      <c r="A10" s="6" t="s">
        <v>12</v>
      </c>
      <c r="B10" s="6">
        <v>0.85</v>
      </c>
      <c r="C10" s="6">
        <v>1.8E-3</v>
      </c>
      <c r="D10" s="6">
        <v>0.78569999999999995</v>
      </c>
      <c r="E10" s="6">
        <v>7.3000000000000001E-3</v>
      </c>
      <c r="F10" s="1">
        <f t="shared" si="0"/>
        <v>6.4300000000000024E-2</v>
      </c>
      <c r="G10" s="1">
        <f t="shared" si="1"/>
        <v>5.4999999999999997E-3</v>
      </c>
      <c r="H10" s="5">
        <f t="shared" si="2"/>
        <v>3.4900000000000014E-2</v>
      </c>
    </row>
    <row r="11" spans="1:13" ht="32" x14ac:dyDescent="0.2">
      <c r="A11" s="8" t="s">
        <v>13</v>
      </c>
      <c r="B11" s="8">
        <v>0.90410000000000001</v>
      </c>
      <c r="C11" s="8">
        <v>1.2E-2</v>
      </c>
      <c r="D11" s="8">
        <v>0.87709999999999999</v>
      </c>
      <c r="E11" s="8">
        <v>1.54E-2</v>
      </c>
      <c r="F11" s="1">
        <f>1/7*(F4+F5+F6+F7+F8+F9+F10)</f>
        <v>6.7342857142857149E-2</v>
      </c>
    </row>
    <row r="12" spans="1:13" x14ac:dyDescent="0.2">
      <c r="A12" s="10" t="s">
        <v>14</v>
      </c>
      <c r="B12" s="10"/>
      <c r="C12" s="10"/>
      <c r="D12" s="10"/>
      <c r="E12" s="10"/>
    </row>
    <row r="13" spans="1:13" ht="16" x14ac:dyDescent="0.2">
      <c r="A13" s="6" t="s">
        <v>15</v>
      </c>
      <c r="B13" s="10">
        <v>2.7E-2</v>
      </c>
      <c r="C13" s="10"/>
      <c r="D13" s="10"/>
      <c r="E13" s="10"/>
    </row>
    <row r="14" spans="1:13" x14ac:dyDescent="0.2">
      <c r="A14" s="9" t="s">
        <v>16</v>
      </c>
      <c r="B14" s="10">
        <v>2.7E-2</v>
      </c>
      <c r="C14" s="10"/>
      <c r="D14" s="10"/>
      <c r="E14" s="10"/>
    </row>
    <row r="15" spans="1:13" x14ac:dyDescent="0.2">
      <c r="A15" s="11" t="s">
        <v>17</v>
      </c>
      <c r="B15" s="11"/>
      <c r="C15" s="11"/>
      <c r="D15" s="11"/>
      <c r="E15" s="11"/>
    </row>
    <row r="16" spans="1:13" x14ac:dyDescent="0.2">
      <c r="A16" s="11"/>
      <c r="B16" s="11"/>
      <c r="C16" s="11"/>
      <c r="D16" s="11"/>
      <c r="E16" s="11"/>
    </row>
    <row r="17" spans="1:8" ht="32" x14ac:dyDescent="0.2">
      <c r="A17" s="4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5" t="s">
        <v>20</v>
      </c>
      <c r="G17" s="5" t="s">
        <v>21</v>
      </c>
      <c r="H17" s="5" t="s">
        <v>22</v>
      </c>
    </row>
    <row r="18" spans="1:8" ht="16" x14ac:dyDescent="0.2">
      <c r="A18" s="6" t="s">
        <v>6</v>
      </c>
      <c r="B18" s="6">
        <v>1</v>
      </c>
      <c r="C18" s="6">
        <v>0</v>
      </c>
      <c r="D18" s="6">
        <v>1</v>
      </c>
      <c r="E18" s="6">
        <v>0</v>
      </c>
      <c r="F18" s="1">
        <f>ABS(B18-D18)</f>
        <v>0</v>
      </c>
      <c r="G18" s="1">
        <f>ABS(C18-E18)</f>
        <v>0</v>
      </c>
      <c r="H18" s="5">
        <f>1/2*(F18+G18)</f>
        <v>0</v>
      </c>
    </row>
    <row r="19" spans="1:8" ht="16" x14ac:dyDescent="0.2">
      <c r="A19" s="6" t="s">
        <v>7</v>
      </c>
      <c r="B19" s="6">
        <v>0.9405</v>
      </c>
      <c r="C19" s="6">
        <v>9.7000000000000003E-3</v>
      </c>
      <c r="D19" s="6">
        <v>0.9677</v>
      </c>
      <c r="E19" s="6">
        <v>6.7999999999999996E-3</v>
      </c>
      <c r="F19" s="1">
        <f t="shared" ref="F19:F24" si="3">ABS(B19-D19)</f>
        <v>2.7200000000000002E-2</v>
      </c>
      <c r="G19" s="1">
        <f>ABS(C19-E19)</f>
        <v>2.9000000000000007E-3</v>
      </c>
      <c r="H19" s="5">
        <f>1/2*(F19+G19)</f>
        <v>1.5050000000000001E-2</v>
      </c>
    </row>
    <row r="20" spans="1:8" ht="16" x14ac:dyDescent="0.2">
      <c r="A20" s="6" t="s">
        <v>8</v>
      </c>
      <c r="B20" s="6">
        <v>0.90910000000000002</v>
      </c>
      <c r="C20" s="6">
        <v>2.3999999999999998E-3</v>
      </c>
      <c r="D20" s="6">
        <v>0.91949999999999998</v>
      </c>
      <c r="E20" s="6">
        <v>1.4200000000000001E-2</v>
      </c>
      <c r="F20" s="1">
        <f t="shared" si="3"/>
        <v>1.0399999999999965E-2</v>
      </c>
      <c r="G20" s="1">
        <f t="shared" ref="G20:G24" si="4">ABS(C20-E20)</f>
        <v>1.1800000000000001E-2</v>
      </c>
      <c r="H20" s="5">
        <f t="shared" ref="H20:H24" si="5">1/2*(F20+G20)</f>
        <v>1.1099999999999983E-2</v>
      </c>
    </row>
    <row r="21" spans="1:8" ht="16" x14ac:dyDescent="0.2">
      <c r="A21" s="6" t="s">
        <v>9</v>
      </c>
      <c r="B21" s="6">
        <v>0.98309999999999997</v>
      </c>
      <c r="C21" s="6">
        <v>4.1500000000000002E-2</v>
      </c>
      <c r="D21" s="6">
        <v>0.96050000000000002</v>
      </c>
      <c r="E21" s="6">
        <v>3.5499999999999997E-2</v>
      </c>
      <c r="F21" s="1">
        <f t="shared" si="3"/>
        <v>2.2599999999999953E-2</v>
      </c>
      <c r="G21" s="1">
        <f t="shared" si="4"/>
        <v>6.0000000000000053E-3</v>
      </c>
      <c r="H21" s="5">
        <f t="shared" si="5"/>
        <v>1.4299999999999979E-2</v>
      </c>
    </row>
    <row r="22" spans="1:8" ht="16" x14ac:dyDescent="0.2">
      <c r="A22" s="6" t="s">
        <v>10</v>
      </c>
      <c r="B22" s="6">
        <v>0.90480000000000005</v>
      </c>
      <c r="C22" s="6">
        <v>5.9999999999999995E-4</v>
      </c>
      <c r="D22" s="6">
        <v>0.84619999999999995</v>
      </c>
      <c r="E22" s="6">
        <v>2E-3</v>
      </c>
      <c r="F22" s="1">
        <f t="shared" si="3"/>
        <v>5.8600000000000096E-2</v>
      </c>
      <c r="G22" s="1">
        <f t="shared" si="4"/>
        <v>1.4000000000000002E-3</v>
      </c>
      <c r="H22" s="5">
        <f t="shared" si="5"/>
        <v>3.0000000000000047E-2</v>
      </c>
    </row>
    <row r="23" spans="1:8" ht="16" x14ac:dyDescent="0.2">
      <c r="A23" s="6" t="s">
        <v>11</v>
      </c>
      <c r="B23" s="6">
        <v>1</v>
      </c>
      <c r="C23" s="6">
        <v>1.9E-3</v>
      </c>
      <c r="D23" s="6">
        <v>0.99150000000000005</v>
      </c>
      <c r="E23" s="6">
        <v>4.4999999999999997E-3</v>
      </c>
      <c r="F23" s="1">
        <f t="shared" si="3"/>
        <v>8.499999999999952E-3</v>
      </c>
      <c r="G23" s="1">
        <f t="shared" si="4"/>
        <v>2.5999999999999999E-3</v>
      </c>
      <c r="H23" s="5">
        <f t="shared" si="5"/>
        <v>5.549999999999976E-3</v>
      </c>
    </row>
    <row r="24" spans="1:8" ht="16" x14ac:dyDescent="0.2">
      <c r="A24" s="6" t="s">
        <v>12</v>
      </c>
      <c r="B24" s="6">
        <v>0.95</v>
      </c>
      <c r="C24" s="6">
        <v>1.1999999999999999E-3</v>
      </c>
      <c r="D24" s="6">
        <v>0.85709999999999997</v>
      </c>
      <c r="E24" s="6">
        <v>5.1999999999999998E-3</v>
      </c>
      <c r="F24" s="1">
        <f t="shared" si="3"/>
        <v>9.2899999999999983E-2</v>
      </c>
      <c r="G24" s="1">
        <f t="shared" si="4"/>
        <v>4.0000000000000001E-3</v>
      </c>
      <c r="H24" s="5">
        <f t="shared" si="5"/>
        <v>4.8449999999999993E-2</v>
      </c>
    </row>
    <row r="25" spans="1:8" ht="32" x14ac:dyDescent="0.2">
      <c r="A25" s="8" t="s">
        <v>13</v>
      </c>
      <c r="B25" s="8">
        <v>0.95530000000000004</v>
      </c>
      <c r="C25" s="8">
        <v>8.2000000000000007E-3</v>
      </c>
      <c r="D25" s="8">
        <v>0.93459999999999999</v>
      </c>
      <c r="E25" s="8">
        <v>9.7999999999999997E-3</v>
      </c>
      <c r="F25" s="1">
        <f>1/7*(F18+F19+F20+F21+F22+F23+F24)</f>
        <v>3.145714285714285E-2</v>
      </c>
    </row>
    <row r="26" spans="1:8" x14ac:dyDescent="0.2">
      <c r="A26" s="10" t="s">
        <v>14</v>
      </c>
      <c r="B26" s="10"/>
      <c r="C26" s="10"/>
      <c r="D26" s="10"/>
      <c r="E26" s="10"/>
    </row>
    <row r="27" spans="1:8" ht="16" x14ac:dyDescent="0.2">
      <c r="A27" s="6" t="s">
        <v>15</v>
      </c>
      <c r="B27" s="10">
        <v>2.07E-2</v>
      </c>
      <c r="C27" s="10"/>
      <c r="D27" s="10"/>
      <c r="E27" s="10"/>
    </row>
    <row r="28" spans="1:8" x14ac:dyDescent="0.2">
      <c r="A28" s="9" t="s">
        <v>16</v>
      </c>
      <c r="B28" s="10">
        <v>2.07E-2</v>
      </c>
      <c r="C28" s="10"/>
      <c r="D28" s="10"/>
      <c r="E28" s="10"/>
    </row>
    <row r="29" spans="1:8" x14ac:dyDescent="0.2">
      <c r="A29" s="11" t="s">
        <v>18</v>
      </c>
      <c r="B29" s="11"/>
      <c r="C29" s="11"/>
      <c r="D29" s="11"/>
      <c r="E29" s="11"/>
    </row>
    <row r="30" spans="1:8" x14ac:dyDescent="0.2">
      <c r="A30" s="11"/>
      <c r="B30" s="11"/>
      <c r="C30" s="11"/>
      <c r="D30" s="11"/>
      <c r="E30" s="11"/>
    </row>
    <row r="31" spans="1:8" ht="32" x14ac:dyDescent="0.2">
      <c r="A31" s="4" t="s">
        <v>1</v>
      </c>
      <c r="B31" s="4" t="s">
        <v>2</v>
      </c>
      <c r="C31" s="4" t="s">
        <v>3</v>
      </c>
      <c r="D31" s="4" t="s">
        <v>4</v>
      </c>
      <c r="E31" s="4" t="s">
        <v>5</v>
      </c>
      <c r="F31" s="5" t="s">
        <v>20</v>
      </c>
      <c r="G31" s="5" t="s">
        <v>21</v>
      </c>
      <c r="H31" s="5" t="s">
        <v>22</v>
      </c>
    </row>
    <row r="32" spans="1:8" ht="16" x14ac:dyDescent="0.2">
      <c r="A32" s="6" t="s">
        <v>6</v>
      </c>
      <c r="B32" s="6">
        <v>1</v>
      </c>
      <c r="C32" s="6">
        <v>0</v>
      </c>
      <c r="D32" s="6">
        <v>1</v>
      </c>
      <c r="E32" s="6">
        <v>0</v>
      </c>
      <c r="F32" s="1">
        <f>ABS(B32-D32)</f>
        <v>0</v>
      </c>
      <c r="G32" s="1">
        <f>ABS(C32-E32)</f>
        <v>0</v>
      </c>
      <c r="H32" s="5">
        <f>1/2*(F32+G32)</f>
        <v>0</v>
      </c>
    </row>
    <row r="33" spans="1:8" ht="16" x14ac:dyDescent="0.2">
      <c r="A33" s="6" t="s">
        <v>7</v>
      </c>
      <c r="B33" s="6">
        <v>0.92059999999999997</v>
      </c>
      <c r="C33" s="6">
        <v>3.5000000000000001E-3</v>
      </c>
      <c r="D33" s="6">
        <v>0.9597</v>
      </c>
      <c r="E33" s="6">
        <v>6.7999999999999996E-3</v>
      </c>
      <c r="F33" s="1">
        <f t="shared" ref="F33:F38" si="6">ABS(B33-D33)</f>
        <v>3.9100000000000024E-2</v>
      </c>
      <c r="G33" s="1">
        <f t="shared" ref="G33:G38" si="7">ABS(C33-E33)</f>
        <v>3.2999999999999995E-3</v>
      </c>
      <c r="H33" s="5">
        <f t="shared" ref="H33:H38" si="8">1/2*(F33+G33)</f>
        <v>2.1200000000000011E-2</v>
      </c>
    </row>
    <row r="34" spans="1:8" ht="16" x14ac:dyDescent="0.2">
      <c r="A34" s="6" t="s">
        <v>8</v>
      </c>
      <c r="B34" s="6">
        <v>0.81820000000000004</v>
      </c>
      <c r="C34" s="6">
        <v>5.9999999999999995E-4</v>
      </c>
      <c r="D34" s="6">
        <v>0.8276</v>
      </c>
      <c r="E34" s="6">
        <v>6.6E-3</v>
      </c>
      <c r="F34" s="1">
        <f t="shared" si="6"/>
        <v>9.3999999999999639E-3</v>
      </c>
      <c r="G34" s="1">
        <f t="shared" si="7"/>
        <v>6.0000000000000001E-3</v>
      </c>
      <c r="H34" s="5">
        <f t="shared" si="8"/>
        <v>7.699999999999982E-3</v>
      </c>
    </row>
    <row r="35" spans="1:8" ht="16" x14ac:dyDescent="0.2">
      <c r="A35" s="6" t="s">
        <v>9</v>
      </c>
      <c r="B35" s="6">
        <v>0.99199999999999999</v>
      </c>
      <c r="C35" s="6">
        <v>6.1100000000000002E-2</v>
      </c>
      <c r="D35" s="6">
        <v>0.97360000000000002</v>
      </c>
      <c r="E35" s="6">
        <v>5.8400000000000001E-2</v>
      </c>
      <c r="F35" s="1">
        <f t="shared" si="6"/>
        <v>1.8399999999999972E-2</v>
      </c>
      <c r="G35" s="1">
        <f t="shared" si="7"/>
        <v>2.700000000000001E-3</v>
      </c>
      <c r="H35" s="5">
        <f t="shared" si="8"/>
        <v>1.0549999999999986E-2</v>
      </c>
    </row>
    <row r="36" spans="1:8" ht="16" x14ac:dyDescent="0.2">
      <c r="A36" s="6" t="s">
        <v>10</v>
      </c>
      <c r="B36" s="6">
        <v>0.8095</v>
      </c>
      <c r="C36" s="6">
        <v>1.1999999999999999E-3</v>
      </c>
      <c r="D36" s="6">
        <v>0.69230000000000003</v>
      </c>
      <c r="E36" s="6">
        <v>1E-3</v>
      </c>
      <c r="F36" s="1">
        <f t="shared" si="6"/>
        <v>0.11719999999999997</v>
      </c>
      <c r="G36" s="1">
        <f t="shared" si="7"/>
        <v>1.9999999999999987E-4</v>
      </c>
      <c r="H36" s="5">
        <f t="shared" si="8"/>
        <v>5.8699999999999988E-2</v>
      </c>
    </row>
    <row r="37" spans="1:8" ht="16" x14ac:dyDescent="0.2">
      <c r="A37" s="6" t="s">
        <v>11</v>
      </c>
      <c r="B37" s="6">
        <v>1</v>
      </c>
      <c r="C37" s="6">
        <v>1.9E-3</v>
      </c>
      <c r="D37" s="6">
        <v>0.99150000000000005</v>
      </c>
      <c r="E37" s="6">
        <v>5.7000000000000002E-3</v>
      </c>
      <c r="F37" s="1">
        <f t="shared" si="6"/>
        <v>8.499999999999952E-3</v>
      </c>
      <c r="G37" s="1">
        <f t="shared" si="7"/>
        <v>3.8000000000000004E-3</v>
      </c>
      <c r="H37" s="5">
        <f t="shared" si="8"/>
        <v>6.1499999999999767E-3</v>
      </c>
    </row>
    <row r="38" spans="1:8" ht="16" x14ac:dyDescent="0.2">
      <c r="A38" s="6" t="s">
        <v>12</v>
      </c>
      <c r="B38" s="6">
        <v>0.97499999999999998</v>
      </c>
      <c r="C38" s="6">
        <v>1.1999999999999999E-3</v>
      </c>
      <c r="D38" s="6">
        <v>0.83330000000000004</v>
      </c>
      <c r="E38" s="6">
        <v>7.3000000000000001E-3</v>
      </c>
      <c r="F38" s="1">
        <f t="shared" si="6"/>
        <v>0.14169999999999994</v>
      </c>
      <c r="G38" s="1">
        <f t="shared" si="7"/>
        <v>6.1000000000000004E-3</v>
      </c>
      <c r="H38" s="5">
        <f t="shared" si="8"/>
        <v>7.3899999999999966E-2</v>
      </c>
    </row>
    <row r="39" spans="1:8" ht="32" x14ac:dyDescent="0.2">
      <c r="A39" s="8" t="s">
        <v>13</v>
      </c>
      <c r="B39" s="6">
        <v>0.93079999999999996</v>
      </c>
      <c r="C39" s="6">
        <v>9.9000000000000008E-3</v>
      </c>
      <c r="D39" s="6">
        <v>0.89690000000000003</v>
      </c>
      <c r="E39" s="6">
        <v>1.2200000000000001E-2</v>
      </c>
      <c r="F39" s="1">
        <f>1/7*(F32+F33+F34+F35+F36+F37+F38)</f>
        <v>4.7757142857142831E-2</v>
      </c>
    </row>
    <row r="40" spans="1:8" x14ac:dyDescent="0.2">
      <c r="A40" s="10" t="s">
        <v>14</v>
      </c>
      <c r="B40" s="10"/>
      <c r="C40" s="10"/>
      <c r="D40" s="10"/>
      <c r="E40" s="10"/>
    </row>
    <row r="41" spans="1:8" ht="16" x14ac:dyDescent="0.2">
      <c r="A41" s="6" t="s">
        <v>15</v>
      </c>
      <c r="B41" s="10">
        <v>3.39E-2</v>
      </c>
      <c r="C41" s="10"/>
      <c r="D41" s="10"/>
      <c r="E41" s="10"/>
    </row>
    <row r="42" spans="1:8" x14ac:dyDescent="0.2">
      <c r="A42" s="9" t="s">
        <v>16</v>
      </c>
      <c r="B42" s="10">
        <v>3.39E-2</v>
      </c>
      <c r="C42" s="10"/>
      <c r="D42" s="10"/>
      <c r="E42" s="10"/>
    </row>
    <row r="43" spans="1:8" x14ac:dyDescent="0.2">
      <c r="A43" s="11" t="s">
        <v>19</v>
      </c>
      <c r="B43" s="11"/>
      <c r="C43" s="11"/>
      <c r="D43" s="11"/>
      <c r="E43" s="11"/>
    </row>
    <row r="44" spans="1:8" x14ac:dyDescent="0.2">
      <c r="A44" s="11"/>
      <c r="B44" s="11"/>
      <c r="C44" s="11"/>
      <c r="D44" s="11"/>
      <c r="E44" s="11"/>
    </row>
    <row r="45" spans="1:8" ht="32" x14ac:dyDescent="0.2">
      <c r="A45" s="4" t="s">
        <v>1</v>
      </c>
      <c r="B45" s="4" t="s">
        <v>2</v>
      </c>
      <c r="C45" s="4" t="s">
        <v>3</v>
      </c>
      <c r="D45" s="4" t="s">
        <v>4</v>
      </c>
      <c r="E45" s="4" t="s">
        <v>5</v>
      </c>
      <c r="F45" s="5" t="s">
        <v>20</v>
      </c>
      <c r="G45" s="5" t="s">
        <v>21</v>
      </c>
      <c r="H45" s="5" t="s">
        <v>22</v>
      </c>
    </row>
    <row r="46" spans="1:8" ht="16" x14ac:dyDescent="0.2">
      <c r="A46" s="6" t="s">
        <v>6</v>
      </c>
      <c r="B46" s="6">
        <v>1</v>
      </c>
      <c r="C46" s="6">
        <v>0</v>
      </c>
      <c r="D46" s="6">
        <v>1</v>
      </c>
      <c r="E46" s="6">
        <v>0</v>
      </c>
      <c r="F46" s="1">
        <f>ABS(B46-D46)</f>
        <v>0</v>
      </c>
      <c r="G46" s="1">
        <f>ABS(C46-E46)</f>
        <v>0</v>
      </c>
      <c r="H46" s="5">
        <f>1/2*(F46+G46)</f>
        <v>0</v>
      </c>
    </row>
    <row r="47" spans="1:8" ht="16" x14ac:dyDescent="0.2">
      <c r="A47" s="6" t="s">
        <v>7</v>
      </c>
      <c r="B47" s="6">
        <v>0.92859999999999998</v>
      </c>
      <c r="C47" s="6">
        <v>4.7999999999999996E-3</v>
      </c>
      <c r="D47" s="6">
        <v>1</v>
      </c>
      <c r="E47" s="6">
        <v>0</v>
      </c>
      <c r="F47" s="1">
        <f t="shared" ref="F47:F52" si="9">ABS(B47-D47)</f>
        <v>7.1400000000000019E-2</v>
      </c>
      <c r="G47" s="1">
        <f t="shared" ref="G47:G52" si="10">ABS(C47-E47)</f>
        <v>4.7999999999999996E-3</v>
      </c>
      <c r="H47" s="5">
        <f t="shared" ref="H47:H52" si="11">1/2*(F47+G47)</f>
        <v>3.8100000000000009E-2</v>
      </c>
    </row>
    <row r="48" spans="1:8" ht="16" x14ac:dyDescent="0.2">
      <c r="A48" s="6" t="s">
        <v>8</v>
      </c>
      <c r="B48" s="6">
        <v>0.81820000000000004</v>
      </c>
      <c r="C48" s="6">
        <v>1.1999999999999999E-3</v>
      </c>
      <c r="D48" s="6">
        <v>0.8851</v>
      </c>
      <c r="E48" s="6">
        <v>3.3E-3</v>
      </c>
      <c r="F48" s="1">
        <f t="shared" si="9"/>
        <v>6.6899999999999959E-2</v>
      </c>
      <c r="G48" s="1">
        <f t="shared" si="10"/>
        <v>2.1000000000000003E-3</v>
      </c>
      <c r="H48" s="5">
        <f t="shared" si="11"/>
        <v>3.4499999999999982E-2</v>
      </c>
    </row>
    <row r="49" spans="1:14" ht="16" x14ac:dyDescent="0.2">
      <c r="A49" s="6" t="s">
        <v>9</v>
      </c>
      <c r="B49" s="6">
        <v>0.99360000000000004</v>
      </c>
      <c r="C49" s="6">
        <v>5.8999999999999997E-2</v>
      </c>
      <c r="D49" s="6">
        <v>0.99180000000000001</v>
      </c>
      <c r="E49" s="6">
        <v>4.0599999999999997E-2</v>
      </c>
      <c r="F49" s="1">
        <f t="shared" si="9"/>
        <v>1.8000000000000238E-3</v>
      </c>
      <c r="G49" s="1">
        <f t="shared" si="10"/>
        <v>1.84E-2</v>
      </c>
      <c r="H49" s="5">
        <f t="shared" si="11"/>
        <v>1.0100000000000012E-2</v>
      </c>
    </row>
    <row r="50" spans="1:14" ht="16" x14ac:dyDescent="0.2">
      <c r="A50" s="6" t="s">
        <v>10</v>
      </c>
      <c r="B50" s="6">
        <v>0.85709999999999997</v>
      </c>
      <c r="C50" s="6">
        <v>5.9999999999999995E-4</v>
      </c>
      <c r="D50" s="6">
        <v>0.84619999999999995</v>
      </c>
      <c r="E50" s="6">
        <v>0</v>
      </c>
      <c r="F50" s="1">
        <f t="shared" si="9"/>
        <v>1.0900000000000021E-2</v>
      </c>
      <c r="G50" s="1">
        <f t="shared" si="10"/>
        <v>5.9999999999999995E-4</v>
      </c>
      <c r="H50" s="5">
        <f t="shared" si="11"/>
        <v>5.7500000000000103E-3</v>
      </c>
    </row>
    <row r="51" spans="1:14" ht="16" x14ac:dyDescent="0.2">
      <c r="A51" s="6" t="s">
        <v>11</v>
      </c>
      <c r="B51" s="6">
        <v>0.97960000000000003</v>
      </c>
      <c r="C51" s="6">
        <v>5.9999999999999995E-4</v>
      </c>
      <c r="D51" s="6">
        <v>0.96579999999999999</v>
      </c>
      <c r="E51" s="6">
        <v>1.1000000000000001E-3</v>
      </c>
      <c r="F51" s="1">
        <f t="shared" si="9"/>
        <v>1.3800000000000034E-2</v>
      </c>
      <c r="G51" s="1">
        <f t="shared" si="10"/>
        <v>5.0000000000000012E-4</v>
      </c>
      <c r="H51" s="5">
        <f t="shared" si="11"/>
        <v>7.1500000000000175E-3</v>
      </c>
      <c r="J51" s="2"/>
      <c r="K51" s="2"/>
      <c r="L51" s="2"/>
      <c r="M51" s="2"/>
      <c r="N51" s="2"/>
    </row>
    <row r="52" spans="1:14" ht="16" x14ac:dyDescent="0.2">
      <c r="A52" s="6" t="s">
        <v>12</v>
      </c>
      <c r="B52" s="6">
        <v>0.97499999999999998</v>
      </c>
      <c r="C52" s="6">
        <v>0</v>
      </c>
      <c r="D52" s="6">
        <v>0.88100000000000001</v>
      </c>
      <c r="E52" s="6">
        <v>6.3E-3</v>
      </c>
      <c r="F52" s="1">
        <f t="shared" si="9"/>
        <v>9.3999999999999972E-2</v>
      </c>
      <c r="G52" s="1">
        <f t="shared" si="10"/>
        <v>6.3E-3</v>
      </c>
      <c r="H52" s="5">
        <f t="shared" si="11"/>
        <v>5.0149999999999986E-2</v>
      </c>
      <c r="J52" s="3"/>
      <c r="K52" s="3"/>
      <c r="L52" s="3"/>
      <c r="M52" s="3"/>
      <c r="N52" s="3"/>
    </row>
    <row r="53" spans="1:14" ht="32" x14ac:dyDescent="0.2">
      <c r="A53" s="8" t="s">
        <v>13</v>
      </c>
      <c r="B53" s="6">
        <v>0.93600000000000005</v>
      </c>
      <c r="C53" s="6">
        <v>9.4999999999999998E-3</v>
      </c>
      <c r="D53" s="6">
        <v>0.9385</v>
      </c>
      <c r="E53" s="6">
        <v>7.3000000000000001E-3</v>
      </c>
      <c r="F53" s="1">
        <f>1/7*(F46+F47+F48+F49+F50+F51+F52)</f>
        <v>3.6971428571428572E-2</v>
      </c>
      <c r="I53" s="2"/>
      <c r="J53" s="3"/>
      <c r="K53" s="3"/>
      <c r="L53" s="3"/>
      <c r="M53" s="3"/>
      <c r="N53" s="3"/>
    </row>
    <row r="54" spans="1:14" x14ac:dyDescent="0.2">
      <c r="A54" s="10" t="s">
        <v>14</v>
      </c>
      <c r="B54" s="10"/>
      <c r="C54" s="10"/>
      <c r="D54" s="10"/>
      <c r="E54" s="10"/>
      <c r="G54" s="3"/>
      <c r="H54" s="3"/>
      <c r="I54" s="3"/>
      <c r="J54" s="3"/>
      <c r="K54" s="3"/>
      <c r="L54" s="3"/>
      <c r="M54" s="3"/>
      <c r="N54" s="3"/>
    </row>
    <row r="55" spans="1:14" ht="16" x14ac:dyDescent="0.2">
      <c r="A55" s="6" t="s">
        <v>15</v>
      </c>
      <c r="B55" s="10">
        <v>2.5000000000000001E-3</v>
      </c>
      <c r="C55" s="10"/>
      <c r="D55" s="10"/>
      <c r="E55" s="10"/>
      <c r="G55" s="3"/>
      <c r="H55" s="3"/>
      <c r="I55" s="3"/>
      <c r="J55" s="3"/>
      <c r="K55" s="3"/>
      <c r="L55" s="3"/>
      <c r="M55" s="3"/>
      <c r="N55" s="3"/>
    </row>
    <row r="56" spans="1:14" x14ac:dyDescent="0.2">
      <c r="A56" s="9" t="s">
        <v>16</v>
      </c>
      <c r="B56" s="10">
        <v>2.5000000000000001E-3</v>
      </c>
      <c r="C56" s="10"/>
      <c r="D56" s="10"/>
      <c r="E56" s="10"/>
      <c r="G56" s="3"/>
      <c r="H56" s="3"/>
      <c r="I56" s="3"/>
      <c r="J56" s="3"/>
      <c r="K56" s="3"/>
      <c r="L56" s="3"/>
      <c r="M56" s="3"/>
      <c r="N56" s="3"/>
    </row>
    <row r="57" spans="1:14" x14ac:dyDescent="0.2">
      <c r="G57" s="3"/>
      <c r="H57" s="3"/>
      <c r="I57" s="3"/>
      <c r="J57" s="3"/>
      <c r="K57" s="3"/>
      <c r="L57" s="3"/>
      <c r="M57" s="3"/>
      <c r="N57" s="3"/>
    </row>
    <row r="58" spans="1:14" x14ac:dyDescent="0.2">
      <c r="G58" s="3"/>
      <c r="H58" s="3"/>
      <c r="I58" s="3"/>
      <c r="J58" s="3"/>
      <c r="K58" s="3"/>
      <c r="L58" s="3"/>
      <c r="M58" s="3"/>
      <c r="N58" s="3"/>
    </row>
    <row r="59" spans="1:14" x14ac:dyDescent="0.2">
      <c r="G59" s="3"/>
      <c r="H59" s="3"/>
      <c r="I59" s="3"/>
      <c r="J59" s="7"/>
      <c r="K59" s="3"/>
      <c r="L59" s="3"/>
      <c r="M59" s="3"/>
      <c r="N59" s="3"/>
    </row>
    <row r="60" spans="1:14" x14ac:dyDescent="0.2">
      <c r="G60" s="3"/>
      <c r="H60" s="3"/>
      <c r="I60" s="3"/>
      <c r="J60" s="3"/>
      <c r="K60" s="3"/>
    </row>
    <row r="61" spans="1:14" x14ac:dyDescent="0.2">
      <c r="G61" s="7"/>
      <c r="H61" s="3"/>
      <c r="I61" s="3"/>
      <c r="J61" s="3"/>
      <c r="K61" s="3"/>
    </row>
  </sheetData>
  <mergeCells count="16">
    <mergeCell ref="B55:E55"/>
    <mergeCell ref="B56:E56"/>
    <mergeCell ref="A1:E2"/>
    <mergeCell ref="A15:E16"/>
    <mergeCell ref="A29:E30"/>
    <mergeCell ref="A43:E44"/>
    <mergeCell ref="B28:E28"/>
    <mergeCell ref="A40:E40"/>
    <mergeCell ref="B41:E41"/>
    <mergeCell ref="B42:E42"/>
    <mergeCell ref="A54:E54"/>
    <mergeCell ref="A12:E12"/>
    <mergeCell ref="B13:E13"/>
    <mergeCell ref="B14:E14"/>
    <mergeCell ref="A26:E26"/>
    <mergeCell ref="B27:E27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843C-8CF8-4B4B-8B3F-7A6BA00E4F4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(2)</vt:lpstr>
      <vt:lpstr>Backup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Kaicheng Zhao</dc:creator>
  <cp:lastModifiedBy>Wu  Fan</cp:lastModifiedBy>
  <dcterms:created xsi:type="dcterms:W3CDTF">2023-05-12T11:15:00Z</dcterms:created>
  <dcterms:modified xsi:type="dcterms:W3CDTF">2026-01-21T14:15:12Z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5B73927726C44D1D8D3EE424316CBBCC_13</vt:lpwstr>
  </property>
</Properties>
</file>